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bened\Desktop\HTW\BA\Bachelorarbeit_589223_Implementierung\"/>
    </mc:Choice>
  </mc:AlternateContent>
  <xr:revisionPtr revIDLastSave="0" documentId="13_ncr:1_{DD2537A9-42CD-4A1A-9E88-03C91302D707}" xr6:coauthVersionLast="47" xr6:coauthVersionMax="47" xr10:uidLastSave="{00000000-0000-0000-0000-000000000000}"/>
  <bookViews>
    <workbookView xWindow="-28920" yWindow="-120" windowWidth="29040" windowHeight="15720" activeTab="1" xr2:uid="{00000000-000D-0000-FFFF-FFFF00000000}"/>
  </bookViews>
  <sheets>
    <sheet name="Tabelle1" sheetId="5" r:id="rId1"/>
    <sheet name="Tabelle2" sheetId="6" r:id="rId2"/>
    <sheet name="Rohdaten_Komplett" sheetId="1" r:id="rId3"/>
    <sheet name="Check_Scores" sheetId="2" r:id="rId4"/>
    <sheet name="Check_Technik" sheetId="3" r:id="rId5"/>
    <sheet name="Nur_Fehler" sheetId="4" r:id="rId6"/>
  </sheets>
  <calcPr calcId="0"/>
  <pivotCaches>
    <pivotCache cacheId="7" r:id="rId7"/>
  </pivotCaches>
</workbook>
</file>

<file path=xl/sharedStrings.xml><?xml version="1.0" encoding="utf-8"?>
<sst xmlns="http://schemas.openxmlformats.org/spreadsheetml/2006/main" count="141" uniqueCount="57">
  <si>
    <t>id</t>
  </si>
  <si>
    <t>category</t>
  </si>
  <si>
    <t>model</t>
  </si>
  <si>
    <t>time_total</t>
  </si>
  <si>
    <t>time_read</t>
  </si>
  <si>
    <t>time_write</t>
  </si>
  <si>
    <t>input_tokens</t>
  </si>
  <si>
    <t>output_tokens</t>
  </si>
  <si>
    <t>tps_read</t>
  </si>
  <si>
    <t>tps_write</t>
  </si>
  <si>
    <t>question</t>
  </si>
  <si>
    <t>model_answer</t>
  </si>
  <si>
    <t>ground_truth</t>
  </si>
  <si>
    <t>context_snippet</t>
  </si>
  <si>
    <t>score</t>
  </si>
  <si>
    <t>Information Retrieval</t>
  </si>
  <si>
    <t>llama3.1:8b</t>
  </si>
  <si>
    <t>Wie groß ist das Spielfeld?</t>
  </si>
  <si>
    <t>Das Spielfeld ist 360 Fuß lang und 160 Fuß breit.</t>
  </si>
  <si>
    <t>Das gesamte Feld ist 360 Fuß lang und 160 Fuß breit.</t>
  </si>
  <si>
    <t>SECTION 1 DIMENSIONS
ARTICLE 1. PLAYING LINES. The...</t>
  </si>
  <si>
    <t>llama3.3:70b</t>
  </si>
  <si>
    <t>Reasoning &amp; Synthesis</t>
  </si>
  <si>
    <t>Was ist der Unterschied zwischen 'Field of Play' und dem gesamten Spielfeld?</t>
  </si>
  <si>
    <t>Der 'Field of Play' umfasst die Fläche, die durch die Goal Lines und die Sidelines begrenzt wird. Das gesamte Spielfeld hingegen umfasst den 'Field of Play' sowie die Endzonen.</t>
  </si>
  <si>
    <t>Das 'Field of Play' ist der Bereich zwischen den Goal Lines. Das gesamte Spielfeld beinhaltet zusätzlich die beiden Endzonen.</t>
  </si>
  <si>
    <t>Der 'Field of Play' umfasst die Fläche, die von den Goal Lines und den Sidelines begrenzt wird. Das gesamte Spielfeld hingegen umfasst sowohl den 'Field of Play' als auch die End Zones.</t>
  </si>
  <si>
    <t>Regulatory Constraints</t>
  </si>
  <si>
    <t>Darf das Spielfeld blau sein?</t>
  </si>
  <si>
    <t>Dazu habe ich keine Informationen.</t>
  </si>
  <si>
    <t>Nein. Die Oberfläche muss ein von der Liga genehmigter Grünton sein.</t>
  </si>
  <si>
    <t>Nein, die Oberfläche des gesamten Spielfelds muss eine liga-genehmigte Schattierung von Grün sein.</t>
  </si>
  <si>
    <t>Dürfen die Mannschaftsbänke näher als 30 Fuß an der Seitenlinie stehen?</t>
  </si>
  <si>
    <t>Nein, nach Artikel 4 des Kontextes dürfen keine Bänke oder starren Fixierungen näher als 30 Fuß von den Seitenlinien stehen.</t>
  </si>
  <si>
    <t>Nein. Die Zonen für die Mannschaftsbänke müssen einen bestimmten Abstand zur Seitenlinie haben (mindestens 30 Fuß).</t>
  </si>
  <si>
    <t>SECTION 2 MARKINGS
ARTICLE 1. YARD LINE MARKINGS. ...</t>
  </si>
  <si>
    <t>Nein, es dürfen keine Bänke oder starren Einrichtungen näher als 30 Fuß von den Seitenlinien entfernt sein.</t>
  </si>
  <si>
    <t>Wie hoch muss die Querstange des Torpfostens über dem Boden sein?</t>
  </si>
  <si>
    <t>Die Querstange (Crossbar) ist 10 Fuß über dem Boden.</t>
  </si>
  <si>
    <t>Die Oberkante der Querstange muss 10 Fuß über dem Boden sein.</t>
  </si>
  <si>
    <t>SECTION 3 GOAL
ARTICLE 1. CROSSBAR. In the plane o...</t>
  </si>
  <si>
    <t>Die Oberseite der Querstange muss 10 Fuß über dem Boden liegen.</t>
  </si>
  <si>
    <t>mean</t>
  </si>
  <si>
    <t>count</t>
  </si>
  <si>
    <t>min</t>
  </si>
  <si>
    <t>max</t>
  </si>
  <si>
    <t>Zeilenbeschriftungen</t>
  </si>
  <si>
    <t>Gesamtergebnis</t>
  </si>
  <si>
    <t>Spaltenbeschriftungen</t>
  </si>
  <si>
    <t>Summe von score</t>
  </si>
  <si>
    <t>Gesamt: Summe von score</t>
  </si>
  <si>
    <t>Gesamt: Mittelwert von time_total</t>
  </si>
  <si>
    <t>Mittelwert von time_total</t>
  </si>
  <si>
    <t>Mittelwert von score</t>
  </si>
  <si>
    <t>Gesamt: Mittelwert von score</t>
  </si>
  <si>
    <t>Gesamt: Mittelwert von output_tokens</t>
  </si>
  <si>
    <t>Mittelwert von output_tokens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</si>
</sst>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xf>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cellXfs>
  <cellStyles count="1">
    <cellStyle name="Standard" xfId="0" builtinId="0"/>
  </cellStyles>
  <dxfs count="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ed" refreshedDate="46043.642535763887" createdVersion="8" refreshedVersion="8" minRefreshableVersion="3" recordCount="10" xr:uid="{03970BD9-1E4F-4ED0-AFE3-90461CE3E219}">
  <cacheSource type="worksheet">
    <worksheetSource name="Tabelle1"/>
  </cacheSource>
  <cacheFields count="15">
    <cacheField name="id" numFmtId="0">
      <sharedItems containsSemiMixedTypes="0" containsString="0" containsNumber="1" containsInteger="1" minValue="101" maxValue="105" count="5">
        <n v="101"/>
        <n v="102"/>
        <n v="103"/>
        <n v="104"/>
        <n v="105"/>
      </sharedItems>
    </cacheField>
    <cacheField name="category" numFmtId="0">
      <sharedItems count="3">
        <s v="Information Retrieval"/>
        <s v="Reasoning &amp; Synthesis"/>
        <s v="Regulatory Constraints"/>
      </sharedItems>
    </cacheField>
    <cacheField name="model" numFmtId="0">
      <sharedItems count="2">
        <s v="llama3.1:8b"/>
        <s v="llama3.3:70b"/>
      </sharedItems>
    </cacheField>
    <cacheField name="time_total" numFmtId="0">
      <sharedItems containsSemiMixedTypes="0" containsString="0" containsNumber="1" minValue="0.189" maxValue="27.138000000000002"/>
    </cacheField>
    <cacheField name="time_read" numFmtId="0">
      <sharedItems containsSemiMixedTypes="0" containsString="0" containsNumber="1" minValue="0.01" maxValue="0.96899999999999997"/>
    </cacheField>
    <cacheField name="time_write" numFmtId="0">
      <sharedItems containsSemiMixedTypes="0" containsString="0" containsNumber="1" minValue="6.0999999999999999E-2" maxValue="1.7310000000000001"/>
    </cacheField>
    <cacheField name="input_tokens" numFmtId="0">
      <sharedItems containsSemiMixedTypes="0" containsString="0" containsNumber="1" containsInteger="1" minValue="443" maxValue="886"/>
    </cacheField>
    <cacheField name="output_tokens" numFmtId="0">
      <sharedItems containsSemiMixedTypes="0" containsString="0" containsNumber="1" containsInteger="1" minValue="8" maxValue="55"/>
    </cacheField>
    <cacheField name="tps_read" numFmtId="0">
      <sharedItems containsSemiMixedTypes="0" containsString="0" containsNumber="1" minValue="741.11" maxValue="69740.22"/>
    </cacheField>
    <cacheField name="tps_write" numFmtId="0">
      <sharedItems containsSemiMixedTypes="0" containsString="0" containsNumber="1" minValue="26.78" maxValue="153.88"/>
    </cacheField>
    <cacheField name="question" numFmtId="0">
      <sharedItems/>
    </cacheField>
    <cacheField name="model_answer" numFmtId="0">
      <sharedItems/>
    </cacheField>
    <cacheField name="ground_truth" numFmtId="0">
      <sharedItems/>
    </cacheField>
    <cacheField name="context_snippet" numFmtId="0">
      <sharedItems/>
    </cacheField>
    <cacheField name="scor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n v="6.5270000000000001"/>
    <n v="0.39900000000000002"/>
    <n v="0.122"/>
    <n v="730"/>
    <n v="17"/>
    <n v="1828.3"/>
    <n v="139.46"/>
    <s v="Wie groß ist das Spielfeld?"/>
    <s v="Das Spielfeld ist 360 Fuß lang und 160 Fuß breit."/>
    <s v="Das gesamte Feld ist 360 Fuß lang und 160 Fuß breit."/>
    <s v="SECTION 1 DIMENSIONS_x000a_ARTICLE 1. PLAYING LINES. The..."/>
    <n v="1"/>
  </r>
  <r>
    <x v="0"/>
    <x v="0"/>
    <x v="1"/>
    <n v="19.731000000000002"/>
    <n v="0.96899999999999997"/>
    <n v="0.63500000000000001"/>
    <n v="730"/>
    <n v="17"/>
    <n v="753.51"/>
    <n v="26.78"/>
    <s v="Wie groß ist das Spielfeld?"/>
    <s v="Das Spielfeld ist 360 Fuß lang und 160 Fuß breit."/>
    <s v="Das gesamte Feld ist 360 Fuß lang und 160 Fuß breit."/>
    <s v="SECTION 1 DIMENSIONS_x000a_ARTICLE 1. PLAYING LINES. The..."/>
    <n v="1"/>
  </r>
  <r>
    <x v="1"/>
    <x v="1"/>
    <x v="0"/>
    <n v="0.44700000000000001"/>
    <n v="2.3E-2"/>
    <n v="0.34399999999999997"/>
    <n v="742"/>
    <n v="53"/>
    <n v="32479.51"/>
    <n v="153.88"/>
    <s v="Was ist der Unterschied zwischen 'Field of Play' und dem gesamten Spielfeld?"/>
    <s v="Der 'Field of Play' umfasst die Fläche, die durch die Goal Lines und die Sidelines begrenzt wird. Das gesamte Spielfeld hingegen umfasst den 'Field of Play' sowie die Endzonen."/>
    <s v="Das 'Field of Play' ist der Bereich zwischen den Goal Lines. Das gesamte Spielfeld beinhaltet zusätzlich die beiden Endzonen."/>
    <s v="SECTION 1 DIMENSIONS_x000a_ARTICLE 1. PLAYING LINES. The..."/>
    <n v="1"/>
  </r>
  <r>
    <x v="1"/>
    <x v="1"/>
    <x v="1"/>
    <n v="2.1930000000000001"/>
    <n v="5.8000000000000003E-2"/>
    <n v="1.7310000000000001"/>
    <n v="742"/>
    <n v="55"/>
    <n v="12737.15"/>
    <n v="31.78"/>
    <s v="Was ist der Unterschied zwischen 'Field of Play' und dem gesamten Spielfeld?"/>
    <s v="Der 'Field of Play' umfasst die Fläche, die von den Goal Lines und den Sidelines begrenzt wird. Das gesamte Spielfeld hingegen umfasst sowohl den 'Field of Play' als auch die End Zones."/>
    <s v="Das 'Field of Play' ist der Bereich zwischen den Goal Lines. Das gesamte Spielfeld beinhaltet zusätzlich die beiden Endzonen."/>
    <s v="SECTION 1 DIMENSIONS_x000a_ARTICLE 1. PLAYING LINES. The..."/>
    <n v="1"/>
  </r>
  <r>
    <x v="2"/>
    <x v="2"/>
    <x v="0"/>
    <n v="0.189"/>
    <n v="0.01"/>
    <n v="6.0999999999999999E-2"/>
    <n v="732"/>
    <n v="8"/>
    <n v="69740.22"/>
    <n v="130.77000000000001"/>
    <s v="Darf das Spielfeld blau sein?"/>
    <s v="Dazu habe ich keine Informationen."/>
    <s v="Nein. Die Oberfläche muss ein von der Liga genehmigter Grünton sein."/>
    <s v="SECTION 1 DIMENSIONS_x000a_ARTICLE 1. PLAYING LINES. The..."/>
    <n v="0"/>
  </r>
  <r>
    <x v="2"/>
    <x v="2"/>
    <x v="1"/>
    <n v="19.297000000000001"/>
    <n v="0.80600000000000005"/>
    <n v="1.0129999999999999"/>
    <n v="732"/>
    <n v="32"/>
    <n v="908.34"/>
    <n v="31.6"/>
    <s v="Darf das Spielfeld blau sein?"/>
    <s v="Nein, die Oberfläche des gesamten Spielfelds muss eine liga-genehmigte Schattierung von Grün sein."/>
    <s v="Nein. Die Oberfläche muss ein von der Liga genehmigter Grünton sein."/>
    <s v="SECTION 1 DIMENSIONS_x000a_ARTICLE 1. PLAYING LINES. The..."/>
    <n v="1"/>
  </r>
  <r>
    <x v="3"/>
    <x v="2"/>
    <x v="0"/>
    <n v="6.2779999999999996"/>
    <n v="0.44400000000000001"/>
    <n v="0.28299999999999997"/>
    <n v="886"/>
    <n v="37"/>
    <n v="1995.56"/>
    <n v="130.52000000000001"/>
    <s v="Dürfen die Mannschaftsbänke näher als 30 Fuß an der Seitenlinie stehen?"/>
    <s v="Nein, nach Artikel 4 des Kontextes dürfen keine Bänke oder starren Fixierungen näher als 30 Fuß von den Seitenlinien stehen."/>
    <s v="Nein. Die Zonen für die Mannschaftsbänke müssen einen bestimmten Abstand zur Seitenlinie haben (mindestens 30 Fuß)."/>
    <s v="SECTION 2 MARKINGS_x000a_ARTICLE 1. YARD LINE MARKINGS. ..."/>
    <n v="1"/>
  </r>
  <r>
    <x v="3"/>
    <x v="2"/>
    <x v="1"/>
    <n v="27.138000000000002"/>
    <n v="0.94"/>
    <n v="1.01"/>
    <n v="886"/>
    <n v="32"/>
    <n v="943.01"/>
    <n v="31.69"/>
    <s v="Dürfen die Mannschaftsbänke näher als 30 Fuß an der Seitenlinie stehen?"/>
    <s v="Nein, es dürfen keine Bänke oder starren Einrichtungen näher als 30 Fuß von den Seitenlinien entfernt sein."/>
    <s v="Nein. Die Zonen für die Mannschaftsbänke müssen einen bestimmten Abstand zur Seitenlinie haben (mindestens 30 Fuß)."/>
    <s v="SECTION 2 MARKINGS_x000a_ARTICLE 1. YARD LINE MARKINGS. ..."/>
    <n v="1"/>
  </r>
  <r>
    <x v="4"/>
    <x v="0"/>
    <x v="0"/>
    <n v="0.311"/>
    <n v="3.5000000000000003E-2"/>
    <n v="0.14899999999999999"/>
    <n v="443"/>
    <n v="19"/>
    <n v="12772.28"/>
    <n v="127.53"/>
    <s v="Wie hoch muss die Querstange des Torpfostens über dem Boden sein?"/>
    <s v="Die Querstange (Crossbar) ist 10 Fuß über dem Boden."/>
    <s v="Die Oberkante der Querstange muss 10 Fuß über dem Boden sein."/>
    <s v="SECTION 3 GOAL_x000a_ARTICLE 1. CROSSBAR. In the plane o..."/>
    <n v="1"/>
  </r>
  <r>
    <x v="4"/>
    <x v="0"/>
    <x v="1"/>
    <n v="18.872"/>
    <n v="0.59799999999999998"/>
    <n v="0.67700000000000005"/>
    <n v="443"/>
    <n v="20"/>
    <n v="741.11"/>
    <n v="29.55"/>
    <s v="Wie hoch muss die Querstange des Torpfostens über dem Boden sein?"/>
    <s v="Die Oberseite der Querstange muss 10 Fuß über dem Boden liegen."/>
    <s v="Die Oberkante der Querstange muss 10 Fuß über dem Boden sein."/>
    <s v="SECTION 3 GOAL_x000a_ARTICLE 1. CROSSBAR. In the plane o..."/>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495442-6D94-4BA7-9ED2-51E076D14CF2}" name="PivotTable1" cacheId="7"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G9" firstHeaderRow="1" firstDataRow="3" firstDataCol="1"/>
  <pivotFields count="15">
    <pivotField showAll="0"/>
    <pivotField axis="axisRow" showAll="0">
      <items count="4">
        <item x="0"/>
        <item x="1"/>
        <item x="2"/>
        <item t="default"/>
      </items>
    </pivotField>
    <pivotField axis="axisCol" showAll="0">
      <items count="3">
        <item x="0"/>
        <item x="1"/>
        <item t="default"/>
      </items>
    </pivotField>
    <pivotField dataField="1"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4">
    <i>
      <x/>
    </i>
    <i>
      <x v="1"/>
    </i>
    <i>
      <x v="2"/>
    </i>
    <i t="grand">
      <x/>
    </i>
  </rowItems>
  <colFields count="2">
    <field x="2"/>
    <field x="-2"/>
  </colFields>
  <colItems count="6">
    <i>
      <x/>
      <x/>
    </i>
    <i r="1" i="1">
      <x v="1"/>
    </i>
    <i>
      <x v="1"/>
      <x/>
    </i>
    <i r="1" i="1">
      <x v="1"/>
    </i>
    <i t="grand">
      <x/>
    </i>
    <i t="grand" i="1">
      <x/>
    </i>
  </colItems>
  <dataFields count="2">
    <dataField name="Summe von score" fld="14" baseField="0" baseItem="0"/>
    <dataField name="Mittelwert von time_total" fld="3"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EAC3FD-9F8F-4B33-94CA-B637ECEE20E1}" name="PivotTable3" cacheId="7"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location ref="A3:G14" firstHeaderRow="1" firstDataRow="3" firstDataCol="1"/>
  <pivotFields count="15">
    <pivotField axis="axisRow" showAll="0">
      <items count="6">
        <item x="0"/>
        <item x="1"/>
        <item x="2"/>
        <item x="3"/>
        <item x="4"/>
        <item t="default"/>
      </items>
    </pivotField>
    <pivotField axis="axisRow" showAll="0">
      <items count="4">
        <item x="0"/>
        <item x="1"/>
        <item x="2"/>
        <item t="default"/>
      </items>
    </pivotField>
    <pivotField axis="axisCol"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pivotField dataField="1" showAll="0"/>
  </pivotFields>
  <rowFields count="2">
    <field x="1"/>
    <field x="0"/>
  </rowFields>
  <rowItems count="9">
    <i>
      <x/>
    </i>
    <i r="1">
      <x/>
    </i>
    <i r="1">
      <x v="4"/>
    </i>
    <i>
      <x v="1"/>
    </i>
    <i r="1">
      <x v="1"/>
    </i>
    <i>
      <x v="2"/>
    </i>
    <i r="1">
      <x v="2"/>
    </i>
    <i r="1">
      <x v="3"/>
    </i>
    <i t="grand">
      <x/>
    </i>
  </rowItems>
  <colFields count="2">
    <field x="2"/>
    <field x="-2"/>
  </colFields>
  <colItems count="6">
    <i>
      <x/>
      <x/>
    </i>
    <i r="1" i="1">
      <x v="1"/>
    </i>
    <i>
      <x v="1"/>
      <x/>
    </i>
    <i r="1" i="1">
      <x v="1"/>
    </i>
    <i t="grand">
      <x/>
    </i>
    <i t="grand" i="1">
      <x/>
    </i>
  </colItems>
  <dataFields count="2">
    <dataField name="Mittelwert von score" fld="14" subtotal="average" baseField="0" baseItem="0"/>
    <dataField name="Mittelwert von output_tokens" fld="7"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50B38F-5412-495F-96B6-A595D81FE39C}" name="Tabelle1" displayName="Tabelle1" ref="A1:O11" totalsRowShown="0" headerRowDxfId="0" headerRowBorderDxfId="1" tableBorderDxfId="2">
  <autoFilter ref="A1:O11" xr:uid="{F850B38F-5412-495F-96B6-A595D81FE39C}"/>
  <tableColumns count="15">
    <tableColumn id="1" xr3:uid="{46CF07D7-C0AF-4C27-9CF3-0062F824AC3C}" name="id"/>
    <tableColumn id="2" xr3:uid="{4E1BBEE2-E4E3-425A-AFC5-18418CF82C21}" name="category"/>
    <tableColumn id="3" xr3:uid="{E3DA967C-86F1-40E3-ABC4-36568DA25261}" name="model"/>
    <tableColumn id="4" xr3:uid="{154253B2-2CB3-44DF-9E57-4108DDD6F5DF}" name="time_total"/>
    <tableColumn id="5" xr3:uid="{5B721346-C7BC-4346-A239-1CC8222450AB}" name="time_read"/>
    <tableColumn id="6" xr3:uid="{51751E8C-5807-418C-86AB-5F1C147D0AAC}" name="time_write"/>
    <tableColumn id="7" xr3:uid="{B5A07319-AFDA-4B7E-B4ED-BF0812687159}" name="input_tokens"/>
    <tableColumn id="8" xr3:uid="{6C02797A-6846-4AD2-8A7A-8D2A0847B78D}" name="output_tokens"/>
    <tableColumn id="9" xr3:uid="{E164D2A7-4AB0-455F-8065-A59F57CA8B5E}" name="tps_read"/>
    <tableColumn id="10" xr3:uid="{57C7D37C-D827-4F90-B7A8-EAA083CB790B}" name="tps_write"/>
    <tableColumn id="11" xr3:uid="{3605CC6E-08E1-4BAF-B832-DBBE3947D1F0}" name="question"/>
    <tableColumn id="12" xr3:uid="{CE6BC588-6D8D-4AA9-865A-396A5817BA85}" name="model_answer"/>
    <tableColumn id="13" xr3:uid="{C565D927-DAA2-4262-8B35-F5B36376BECF}" name="ground_truth"/>
    <tableColumn id="14" xr3:uid="{1B00B203-BF8E-4441-ADED-BDCC91A55CC5}" name="context_snippet"/>
    <tableColumn id="15" xr3:uid="{DD4E1667-2115-4498-827C-C185D1153622}" name="scor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6F54A-52D7-4055-B5DB-846180046614}">
  <dimension ref="A3:G9"/>
  <sheetViews>
    <sheetView workbookViewId="0">
      <selection activeCell="A13" sqref="A13"/>
    </sheetView>
  </sheetViews>
  <sheetFormatPr baseColWidth="10" defaultRowHeight="14.5" x14ac:dyDescent="0.35"/>
  <cols>
    <col min="1" max="1" width="21.54296875" bestFit="1" customWidth="1"/>
    <col min="2" max="2" width="22.7265625" bestFit="1" customWidth="1"/>
    <col min="3" max="3" width="23.26953125" bestFit="1" customWidth="1"/>
    <col min="4" max="4" width="15.90625" bestFit="1" customWidth="1"/>
    <col min="5" max="5" width="23.26953125" bestFit="1" customWidth="1"/>
    <col min="6" max="6" width="23.54296875" bestFit="1" customWidth="1"/>
    <col min="7" max="7" width="31.08984375" bestFit="1" customWidth="1"/>
  </cols>
  <sheetData>
    <row r="3" spans="1:7" x14ac:dyDescent="0.35">
      <c r="B3" s="4" t="s">
        <v>48</v>
      </c>
    </row>
    <row r="4" spans="1:7" x14ac:dyDescent="0.35">
      <c r="B4" t="s">
        <v>16</v>
      </c>
      <c r="D4" t="s">
        <v>21</v>
      </c>
      <c r="F4" t="s">
        <v>50</v>
      </c>
      <c r="G4" t="s">
        <v>51</v>
      </c>
    </row>
    <row r="5" spans="1:7" x14ac:dyDescent="0.35">
      <c r="A5" s="4" t="s">
        <v>46</v>
      </c>
      <c r="B5" t="s">
        <v>49</v>
      </c>
      <c r="C5" t="s">
        <v>52</v>
      </c>
      <c r="D5" t="s">
        <v>49</v>
      </c>
      <c r="E5" t="s">
        <v>52</v>
      </c>
    </row>
    <row r="6" spans="1:7" x14ac:dyDescent="0.35">
      <c r="A6" s="5" t="s">
        <v>15</v>
      </c>
      <c r="B6" s="6">
        <v>2</v>
      </c>
      <c r="C6" s="6">
        <v>3.419</v>
      </c>
      <c r="D6" s="6">
        <v>2</v>
      </c>
      <c r="E6" s="6">
        <v>19.301500000000001</v>
      </c>
      <c r="F6" s="6">
        <v>4</v>
      </c>
      <c r="G6" s="6">
        <v>11.360250000000001</v>
      </c>
    </row>
    <row r="7" spans="1:7" x14ac:dyDescent="0.35">
      <c r="A7" s="5" t="s">
        <v>22</v>
      </c>
      <c r="B7" s="6">
        <v>1</v>
      </c>
      <c r="C7" s="6">
        <v>0.44700000000000001</v>
      </c>
      <c r="D7" s="6">
        <v>1</v>
      </c>
      <c r="E7" s="6">
        <v>2.1930000000000001</v>
      </c>
      <c r="F7" s="6">
        <v>2</v>
      </c>
      <c r="G7" s="6">
        <v>1.32</v>
      </c>
    </row>
    <row r="8" spans="1:7" x14ac:dyDescent="0.35">
      <c r="A8" s="5" t="s">
        <v>27</v>
      </c>
      <c r="B8" s="6">
        <v>1</v>
      </c>
      <c r="C8" s="6">
        <v>3.2334999999999998</v>
      </c>
      <c r="D8" s="6">
        <v>2</v>
      </c>
      <c r="E8" s="6">
        <v>23.217500000000001</v>
      </c>
      <c r="F8" s="6">
        <v>3</v>
      </c>
      <c r="G8" s="6">
        <v>13.2255</v>
      </c>
    </row>
    <row r="9" spans="1:7" x14ac:dyDescent="0.35">
      <c r="A9" s="5" t="s">
        <v>47</v>
      </c>
      <c r="B9" s="6">
        <v>4</v>
      </c>
      <c r="C9" s="6">
        <v>2.7504</v>
      </c>
      <c r="D9" s="6">
        <v>5</v>
      </c>
      <c r="E9" s="6">
        <v>17.446200000000001</v>
      </c>
      <c r="F9" s="6">
        <v>9</v>
      </c>
      <c r="G9" s="6">
        <v>10.0983</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EF469-B4BD-4DB9-B834-057F6C30C505}">
  <dimension ref="A3:G14"/>
  <sheetViews>
    <sheetView tabSelected="1" workbookViewId="0">
      <selection activeCell="A3" sqref="A3"/>
    </sheetView>
  </sheetViews>
  <sheetFormatPr baseColWidth="10" defaultRowHeight="14.5" x14ac:dyDescent="0.35"/>
  <cols>
    <col min="1" max="1" width="21.90625" bestFit="1" customWidth="1"/>
    <col min="2" max="2" width="22.7265625" bestFit="1" customWidth="1"/>
    <col min="3" max="3" width="27" bestFit="1" customWidth="1"/>
    <col min="4" max="4" width="18.81640625" bestFit="1" customWidth="1"/>
    <col min="5" max="5" width="27" bestFit="1" customWidth="1"/>
    <col min="6" max="6" width="26.54296875" bestFit="1" customWidth="1"/>
    <col min="7" max="7" width="34.6328125" bestFit="1" customWidth="1"/>
  </cols>
  <sheetData>
    <row r="3" spans="1:7" x14ac:dyDescent="0.35">
      <c r="B3" s="4" t="s">
        <v>48</v>
      </c>
    </row>
    <row r="4" spans="1:7" x14ac:dyDescent="0.35">
      <c r="B4" t="s">
        <v>16</v>
      </c>
      <c r="D4" t="s">
        <v>21</v>
      </c>
      <c r="F4" t="s">
        <v>54</v>
      </c>
      <c r="G4" t="s">
        <v>55</v>
      </c>
    </row>
    <row r="5" spans="1:7" x14ac:dyDescent="0.35">
      <c r="A5" s="4" t="s">
        <v>46</v>
      </c>
      <c r="B5" t="s">
        <v>53</v>
      </c>
      <c r="C5" t="s">
        <v>56</v>
      </c>
      <c r="D5" t="s">
        <v>53</v>
      </c>
      <c r="E5" t="s">
        <v>56</v>
      </c>
    </row>
    <row r="6" spans="1:7" x14ac:dyDescent="0.35">
      <c r="A6" s="5" t="s">
        <v>15</v>
      </c>
      <c r="B6" s="6">
        <v>1</v>
      </c>
      <c r="C6" s="6">
        <v>18</v>
      </c>
      <c r="D6" s="6">
        <v>1</v>
      </c>
      <c r="E6" s="6">
        <v>18.5</v>
      </c>
      <c r="F6" s="6">
        <v>1</v>
      </c>
      <c r="G6" s="6">
        <v>18.25</v>
      </c>
    </row>
    <row r="7" spans="1:7" x14ac:dyDescent="0.35">
      <c r="A7" s="7">
        <v>101</v>
      </c>
      <c r="B7" s="6">
        <v>1</v>
      </c>
      <c r="C7" s="6">
        <v>17</v>
      </c>
      <c r="D7" s="6">
        <v>1</v>
      </c>
      <c r="E7" s="6">
        <v>17</v>
      </c>
      <c r="F7" s="6">
        <v>1</v>
      </c>
      <c r="G7" s="6">
        <v>17</v>
      </c>
    </row>
    <row r="8" spans="1:7" x14ac:dyDescent="0.35">
      <c r="A8" s="7">
        <v>105</v>
      </c>
      <c r="B8" s="6">
        <v>1</v>
      </c>
      <c r="C8" s="6">
        <v>19</v>
      </c>
      <c r="D8" s="6">
        <v>1</v>
      </c>
      <c r="E8" s="6">
        <v>20</v>
      </c>
      <c r="F8" s="6">
        <v>1</v>
      </c>
      <c r="G8" s="6">
        <v>19.5</v>
      </c>
    </row>
    <row r="9" spans="1:7" x14ac:dyDescent="0.35">
      <c r="A9" s="5" t="s">
        <v>22</v>
      </c>
      <c r="B9" s="6">
        <v>1</v>
      </c>
      <c r="C9" s="6">
        <v>53</v>
      </c>
      <c r="D9" s="6">
        <v>1</v>
      </c>
      <c r="E9" s="6">
        <v>55</v>
      </c>
      <c r="F9" s="6">
        <v>1</v>
      </c>
      <c r="G9" s="6">
        <v>54</v>
      </c>
    </row>
    <row r="10" spans="1:7" x14ac:dyDescent="0.35">
      <c r="A10" s="7">
        <v>102</v>
      </c>
      <c r="B10" s="6">
        <v>1</v>
      </c>
      <c r="C10" s="6">
        <v>53</v>
      </c>
      <c r="D10" s="6">
        <v>1</v>
      </c>
      <c r="E10" s="6">
        <v>55</v>
      </c>
      <c r="F10" s="6">
        <v>1</v>
      </c>
      <c r="G10" s="6">
        <v>54</v>
      </c>
    </row>
    <row r="11" spans="1:7" x14ac:dyDescent="0.35">
      <c r="A11" s="5" t="s">
        <v>27</v>
      </c>
      <c r="B11" s="6">
        <v>0.5</v>
      </c>
      <c r="C11" s="6">
        <v>22.5</v>
      </c>
      <c r="D11" s="6">
        <v>1</v>
      </c>
      <c r="E11" s="6">
        <v>32</v>
      </c>
      <c r="F11" s="6">
        <v>0.75</v>
      </c>
      <c r="G11" s="6">
        <v>27.25</v>
      </c>
    </row>
    <row r="12" spans="1:7" x14ac:dyDescent="0.35">
      <c r="A12" s="7">
        <v>103</v>
      </c>
      <c r="B12" s="6">
        <v>0</v>
      </c>
      <c r="C12" s="6">
        <v>8</v>
      </c>
      <c r="D12" s="6">
        <v>1</v>
      </c>
      <c r="E12" s="6">
        <v>32</v>
      </c>
      <c r="F12" s="6">
        <v>0.5</v>
      </c>
      <c r="G12" s="6">
        <v>20</v>
      </c>
    </row>
    <row r="13" spans="1:7" x14ac:dyDescent="0.35">
      <c r="A13" s="7">
        <v>104</v>
      </c>
      <c r="B13" s="6">
        <v>1</v>
      </c>
      <c r="C13" s="6">
        <v>37</v>
      </c>
      <c r="D13" s="6">
        <v>1</v>
      </c>
      <c r="E13" s="6">
        <v>32</v>
      </c>
      <c r="F13" s="6">
        <v>1</v>
      </c>
      <c r="G13" s="6">
        <v>34.5</v>
      </c>
    </row>
    <row r="14" spans="1:7" x14ac:dyDescent="0.35">
      <c r="A14" s="5" t="s">
        <v>47</v>
      </c>
      <c r="B14" s="6">
        <v>0.8</v>
      </c>
      <c r="C14" s="6">
        <v>26.8</v>
      </c>
      <c r="D14" s="6">
        <v>1</v>
      </c>
      <c r="E14" s="6">
        <v>31.2</v>
      </c>
      <c r="F14" s="6">
        <v>0.9</v>
      </c>
      <c r="G14" s="6">
        <v>29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workbookViewId="0">
      <selection sqref="A1:O11"/>
    </sheetView>
  </sheetViews>
  <sheetFormatPr baseColWidth="10" defaultColWidth="8.7265625" defaultRowHeight="14.5" x14ac:dyDescent="0.35"/>
  <cols>
    <col min="2" max="2" width="20.26953125" bestFit="1" customWidth="1"/>
    <col min="3" max="3" width="11.54296875" bestFit="1" customWidth="1"/>
    <col min="4" max="4" width="11.7265625" customWidth="1"/>
    <col min="5" max="5" width="11.6328125" customWidth="1"/>
    <col min="6" max="6" width="12.26953125" customWidth="1"/>
    <col min="7" max="7" width="14.08984375" customWidth="1"/>
    <col min="8" max="8" width="15.26953125" customWidth="1"/>
    <col min="9" max="9" width="10.26953125" customWidth="1"/>
    <col min="10" max="10" width="10.90625" customWidth="1"/>
    <col min="11" max="11" width="67.7265625" bestFit="1" customWidth="1"/>
    <col min="12" max="12" width="15.453125" customWidth="1"/>
    <col min="13" max="13" width="14.08984375" customWidth="1"/>
    <col min="14" max="14" width="16.6328125" customWidth="1"/>
  </cols>
  <sheetData>
    <row r="1" spans="1:15"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x14ac:dyDescent="0.35">
      <c r="A2">
        <v>101</v>
      </c>
      <c r="B2" t="s">
        <v>15</v>
      </c>
      <c r="C2" t="s">
        <v>16</v>
      </c>
      <c r="D2">
        <v>6.5270000000000001</v>
      </c>
      <c r="E2">
        <v>0.39900000000000002</v>
      </c>
      <c r="F2">
        <v>0.122</v>
      </c>
      <c r="G2">
        <v>730</v>
      </c>
      <c r="H2">
        <v>17</v>
      </c>
      <c r="I2">
        <v>1828.3</v>
      </c>
      <c r="J2">
        <v>139.46</v>
      </c>
      <c r="K2" t="s">
        <v>17</v>
      </c>
      <c r="L2" t="s">
        <v>18</v>
      </c>
      <c r="M2" t="s">
        <v>19</v>
      </c>
      <c r="N2" t="s">
        <v>20</v>
      </c>
      <c r="O2">
        <v>1</v>
      </c>
    </row>
    <row r="3" spans="1:15" x14ac:dyDescent="0.35">
      <c r="A3">
        <v>101</v>
      </c>
      <c r="B3" t="s">
        <v>15</v>
      </c>
      <c r="C3" t="s">
        <v>21</v>
      </c>
      <c r="D3">
        <v>19.731000000000002</v>
      </c>
      <c r="E3">
        <v>0.96899999999999997</v>
      </c>
      <c r="F3">
        <v>0.63500000000000001</v>
      </c>
      <c r="G3">
        <v>730</v>
      </c>
      <c r="H3">
        <v>17</v>
      </c>
      <c r="I3">
        <v>753.51</v>
      </c>
      <c r="J3">
        <v>26.78</v>
      </c>
      <c r="K3" t="s">
        <v>17</v>
      </c>
      <c r="L3" t="s">
        <v>18</v>
      </c>
      <c r="M3" t="s">
        <v>19</v>
      </c>
      <c r="N3" t="s">
        <v>20</v>
      </c>
      <c r="O3">
        <v>1</v>
      </c>
    </row>
    <row r="4" spans="1:15" x14ac:dyDescent="0.35">
      <c r="A4">
        <v>102</v>
      </c>
      <c r="B4" t="s">
        <v>22</v>
      </c>
      <c r="C4" t="s">
        <v>16</v>
      </c>
      <c r="D4">
        <v>0.44700000000000001</v>
      </c>
      <c r="E4">
        <v>2.3E-2</v>
      </c>
      <c r="F4">
        <v>0.34399999999999997</v>
      </c>
      <c r="G4">
        <v>742</v>
      </c>
      <c r="H4">
        <v>53</v>
      </c>
      <c r="I4">
        <v>32479.51</v>
      </c>
      <c r="J4">
        <v>153.88</v>
      </c>
      <c r="K4" t="s">
        <v>23</v>
      </c>
      <c r="L4" t="s">
        <v>24</v>
      </c>
      <c r="M4" t="s">
        <v>25</v>
      </c>
      <c r="N4" t="s">
        <v>20</v>
      </c>
      <c r="O4">
        <v>1</v>
      </c>
    </row>
    <row r="5" spans="1:15" x14ac:dyDescent="0.35">
      <c r="A5">
        <v>102</v>
      </c>
      <c r="B5" t="s">
        <v>22</v>
      </c>
      <c r="C5" t="s">
        <v>21</v>
      </c>
      <c r="D5">
        <v>2.1930000000000001</v>
      </c>
      <c r="E5">
        <v>5.8000000000000003E-2</v>
      </c>
      <c r="F5">
        <v>1.7310000000000001</v>
      </c>
      <c r="G5">
        <v>742</v>
      </c>
      <c r="H5">
        <v>55</v>
      </c>
      <c r="I5">
        <v>12737.15</v>
      </c>
      <c r="J5">
        <v>31.78</v>
      </c>
      <c r="K5" t="s">
        <v>23</v>
      </c>
      <c r="L5" t="s">
        <v>26</v>
      </c>
      <c r="M5" t="s">
        <v>25</v>
      </c>
      <c r="N5" t="s">
        <v>20</v>
      </c>
      <c r="O5">
        <v>1</v>
      </c>
    </row>
    <row r="6" spans="1:15" x14ac:dyDescent="0.35">
      <c r="A6">
        <v>103</v>
      </c>
      <c r="B6" t="s">
        <v>27</v>
      </c>
      <c r="C6" t="s">
        <v>16</v>
      </c>
      <c r="D6">
        <v>0.189</v>
      </c>
      <c r="E6">
        <v>0.01</v>
      </c>
      <c r="F6">
        <v>6.0999999999999999E-2</v>
      </c>
      <c r="G6">
        <v>732</v>
      </c>
      <c r="H6">
        <v>8</v>
      </c>
      <c r="I6">
        <v>69740.22</v>
      </c>
      <c r="J6">
        <v>130.77000000000001</v>
      </c>
      <c r="K6" t="s">
        <v>28</v>
      </c>
      <c r="L6" t="s">
        <v>29</v>
      </c>
      <c r="M6" t="s">
        <v>30</v>
      </c>
      <c r="N6" t="s">
        <v>20</v>
      </c>
      <c r="O6">
        <v>0</v>
      </c>
    </row>
    <row r="7" spans="1:15" x14ac:dyDescent="0.35">
      <c r="A7">
        <v>103</v>
      </c>
      <c r="B7" t="s">
        <v>27</v>
      </c>
      <c r="C7" t="s">
        <v>21</v>
      </c>
      <c r="D7">
        <v>19.297000000000001</v>
      </c>
      <c r="E7">
        <v>0.80600000000000005</v>
      </c>
      <c r="F7">
        <v>1.0129999999999999</v>
      </c>
      <c r="G7">
        <v>732</v>
      </c>
      <c r="H7">
        <v>32</v>
      </c>
      <c r="I7">
        <v>908.34</v>
      </c>
      <c r="J7">
        <v>31.6</v>
      </c>
      <c r="K7" t="s">
        <v>28</v>
      </c>
      <c r="L7" t="s">
        <v>31</v>
      </c>
      <c r="M7" t="s">
        <v>30</v>
      </c>
      <c r="N7" t="s">
        <v>20</v>
      </c>
      <c r="O7">
        <v>1</v>
      </c>
    </row>
    <row r="8" spans="1:15" x14ac:dyDescent="0.35">
      <c r="A8">
        <v>104</v>
      </c>
      <c r="B8" t="s">
        <v>27</v>
      </c>
      <c r="C8" t="s">
        <v>16</v>
      </c>
      <c r="D8">
        <v>6.2779999999999996</v>
      </c>
      <c r="E8">
        <v>0.44400000000000001</v>
      </c>
      <c r="F8">
        <v>0.28299999999999997</v>
      </c>
      <c r="G8">
        <v>886</v>
      </c>
      <c r="H8">
        <v>37</v>
      </c>
      <c r="I8">
        <v>1995.56</v>
      </c>
      <c r="J8">
        <v>130.52000000000001</v>
      </c>
      <c r="K8" t="s">
        <v>32</v>
      </c>
      <c r="L8" t="s">
        <v>33</v>
      </c>
      <c r="M8" t="s">
        <v>34</v>
      </c>
      <c r="N8" t="s">
        <v>35</v>
      </c>
      <c r="O8">
        <v>1</v>
      </c>
    </row>
    <row r="9" spans="1:15" x14ac:dyDescent="0.35">
      <c r="A9">
        <v>104</v>
      </c>
      <c r="B9" t="s">
        <v>27</v>
      </c>
      <c r="C9" t="s">
        <v>21</v>
      </c>
      <c r="D9">
        <v>27.138000000000002</v>
      </c>
      <c r="E9">
        <v>0.94</v>
      </c>
      <c r="F9">
        <v>1.01</v>
      </c>
      <c r="G9">
        <v>886</v>
      </c>
      <c r="H9">
        <v>32</v>
      </c>
      <c r="I9">
        <v>943.01</v>
      </c>
      <c r="J9">
        <v>31.69</v>
      </c>
      <c r="K9" t="s">
        <v>32</v>
      </c>
      <c r="L9" t="s">
        <v>36</v>
      </c>
      <c r="M9" t="s">
        <v>34</v>
      </c>
      <c r="N9" t="s">
        <v>35</v>
      </c>
      <c r="O9">
        <v>1</v>
      </c>
    </row>
    <row r="10" spans="1:15" x14ac:dyDescent="0.35">
      <c r="A10">
        <v>105</v>
      </c>
      <c r="B10" t="s">
        <v>15</v>
      </c>
      <c r="C10" t="s">
        <v>16</v>
      </c>
      <c r="D10">
        <v>0.311</v>
      </c>
      <c r="E10">
        <v>3.5000000000000003E-2</v>
      </c>
      <c r="F10">
        <v>0.14899999999999999</v>
      </c>
      <c r="G10">
        <v>443</v>
      </c>
      <c r="H10">
        <v>19</v>
      </c>
      <c r="I10">
        <v>12772.28</v>
      </c>
      <c r="J10">
        <v>127.53</v>
      </c>
      <c r="K10" t="s">
        <v>37</v>
      </c>
      <c r="L10" t="s">
        <v>38</v>
      </c>
      <c r="M10" t="s">
        <v>39</v>
      </c>
      <c r="N10" t="s">
        <v>40</v>
      </c>
      <c r="O10">
        <v>1</v>
      </c>
    </row>
    <row r="11" spans="1:15" x14ac:dyDescent="0.35">
      <c r="A11">
        <v>105</v>
      </c>
      <c r="B11" t="s">
        <v>15</v>
      </c>
      <c r="C11" t="s">
        <v>21</v>
      </c>
      <c r="D11">
        <v>18.872</v>
      </c>
      <c r="E11">
        <v>0.59799999999999998</v>
      </c>
      <c r="F11">
        <v>0.67700000000000005</v>
      </c>
      <c r="G11">
        <v>443</v>
      </c>
      <c r="H11">
        <v>20</v>
      </c>
      <c r="I11">
        <v>741.11</v>
      </c>
      <c r="J11">
        <v>29.55</v>
      </c>
      <c r="K11" t="s">
        <v>37</v>
      </c>
      <c r="L11" t="s">
        <v>41</v>
      </c>
      <c r="M11" t="s">
        <v>39</v>
      </c>
      <c r="N11" t="s">
        <v>40</v>
      </c>
      <c r="O11">
        <v>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sheetViews>
  <sheetFormatPr baseColWidth="10" defaultColWidth="8.7265625" defaultRowHeight="14.5" x14ac:dyDescent="0.35"/>
  <cols>
    <col min="1" max="1" width="20.26953125" bestFit="1" customWidth="1"/>
    <col min="2" max="2" width="10.6328125" bestFit="1" customWidth="1"/>
    <col min="3" max="3" width="11.54296875" bestFit="1" customWidth="1"/>
    <col min="4" max="4" width="10.6328125" bestFit="1" customWidth="1"/>
    <col min="5" max="5" width="11.54296875" bestFit="1" customWidth="1"/>
  </cols>
  <sheetData>
    <row r="1" spans="1:5" x14ac:dyDescent="0.35">
      <c r="A1" s="1"/>
      <c r="B1" s="2" t="s">
        <v>42</v>
      </c>
      <c r="C1" s="2"/>
      <c r="D1" s="2" t="s">
        <v>43</v>
      </c>
      <c r="E1" s="2"/>
    </row>
    <row r="2" spans="1:5" x14ac:dyDescent="0.35">
      <c r="A2" s="1" t="s">
        <v>2</v>
      </c>
      <c r="B2" s="1" t="s">
        <v>16</v>
      </c>
      <c r="C2" s="1" t="s">
        <v>21</v>
      </c>
      <c r="D2" s="1" t="s">
        <v>16</v>
      </c>
      <c r="E2" s="1" t="s">
        <v>21</v>
      </c>
    </row>
    <row r="3" spans="1:5" x14ac:dyDescent="0.35">
      <c r="A3" s="1" t="s">
        <v>1</v>
      </c>
    </row>
    <row r="4" spans="1:5" x14ac:dyDescent="0.35">
      <c r="A4" s="1" t="s">
        <v>15</v>
      </c>
      <c r="B4">
        <v>1</v>
      </c>
      <c r="C4">
        <v>1</v>
      </c>
      <c r="D4">
        <v>2</v>
      </c>
      <c r="E4">
        <v>2</v>
      </c>
    </row>
    <row r="5" spans="1:5" x14ac:dyDescent="0.35">
      <c r="A5" s="1" t="s">
        <v>22</v>
      </c>
      <c r="B5">
        <v>1</v>
      </c>
      <c r="C5">
        <v>1</v>
      </c>
      <c r="D5">
        <v>1</v>
      </c>
      <c r="E5">
        <v>1</v>
      </c>
    </row>
    <row r="6" spans="1:5" x14ac:dyDescent="0.35">
      <c r="A6" s="1" t="s">
        <v>27</v>
      </c>
      <c r="B6">
        <v>0.5</v>
      </c>
      <c r="C6">
        <v>1</v>
      </c>
      <c r="D6">
        <v>2</v>
      </c>
      <c r="E6">
        <v>2</v>
      </c>
    </row>
  </sheetData>
  <mergeCells count="2">
    <mergeCell ref="B1:C1"/>
    <mergeCell ref="D1:E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
  <sheetViews>
    <sheetView workbookViewId="0"/>
  </sheetViews>
  <sheetFormatPr baseColWidth="10" defaultColWidth="8.7265625" defaultRowHeight="14.5" x14ac:dyDescent="0.35"/>
  <cols>
    <col min="2" max="2" width="13.36328125" bestFit="1" customWidth="1"/>
    <col min="3" max="3" width="9.81640625" bestFit="1" customWidth="1"/>
    <col min="4" max="4" width="9" bestFit="1" customWidth="1"/>
  </cols>
  <sheetData>
    <row r="1" spans="1:10" x14ac:dyDescent="0.35">
      <c r="A1" s="1"/>
      <c r="B1" s="2" t="s">
        <v>42</v>
      </c>
      <c r="C1" s="2"/>
      <c r="D1" s="2"/>
      <c r="E1" s="2" t="s">
        <v>44</v>
      </c>
      <c r="F1" s="2"/>
      <c r="G1" s="2"/>
      <c r="H1" s="2" t="s">
        <v>45</v>
      </c>
      <c r="I1" s="2"/>
      <c r="J1" s="2"/>
    </row>
    <row r="2" spans="1:10" x14ac:dyDescent="0.35">
      <c r="A2" s="1"/>
      <c r="B2" s="1" t="s">
        <v>7</v>
      </c>
      <c r="C2" s="1" t="s">
        <v>3</v>
      </c>
      <c r="D2" s="1" t="s">
        <v>9</v>
      </c>
      <c r="E2" s="1" t="s">
        <v>7</v>
      </c>
      <c r="F2" s="1" t="s">
        <v>3</v>
      </c>
      <c r="G2" s="1" t="s">
        <v>9</v>
      </c>
      <c r="H2" s="1" t="s">
        <v>7</v>
      </c>
      <c r="I2" s="1" t="s">
        <v>3</v>
      </c>
      <c r="J2" s="1" t="s">
        <v>9</v>
      </c>
    </row>
    <row r="3" spans="1:10" x14ac:dyDescent="0.35">
      <c r="A3" s="1" t="s">
        <v>2</v>
      </c>
    </row>
    <row r="4" spans="1:10" x14ac:dyDescent="0.35">
      <c r="A4" s="1" t="s">
        <v>16</v>
      </c>
      <c r="B4">
        <v>26.8</v>
      </c>
      <c r="C4">
        <v>2.7504</v>
      </c>
      <c r="D4">
        <v>136.43199999999999</v>
      </c>
      <c r="E4">
        <v>8</v>
      </c>
      <c r="F4">
        <v>0.189</v>
      </c>
      <c r="G4">
        <v>127.53</v>
      </c>
      <c r="H4">
        <v>53</v>
      </c>
      <c r="I4">
        <v>6.5270000000000001</v>
      </c>
      <c r="J4">
        <v>153.88</v>
      </c>
    </row>
    <row r="5" spans="1:10" x14ac:dyDescent="0.35">
      <c r="A5" s="1" t="s">
        <v>21</v>
      </c>
      <c r="B5">
        <v>31.2</v>
      </c>
      <c r="C5">
        <v>17.446200000000001</v>
      </c>
      <c r="D5">
        <v>30.28</v>
      </c>
      <c r="E5">
        <v>17</v>
      </c>
      <c r="F5">
        <v>2.1930000000000001</v>
      </c>
      <c r="G5">
        <v>26.78</v>
      </c>
      <c r="H5">
        <v>55</v>
      </c>
      <c r="I5">
        <v>27.138000000000002</v>
      </c>
      <c r="J5">
        <v>31.78</v>
      </c>
    </row>
  </sheetData>
  <mergeCells count="3">
    <mergeCell ref="H1:J1"/>
    <mergeCell ref="B1:D1"/>
    <mergeCell ref="E1:G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
  <sheetViews>
    <sheetView workbookViewId="0"/>
  </sheetViews>
  <sheetFormatPr baseColWidth="10" defaultColWidth="8.7265625" defaultRowHeight="14.5" x14ac:dyDescent="0.35"/>
  <sheetData>
    <row r="1" spans="1:7" x14ac:dyDescent="0.35">
      <c r="A1" s="1" t="s">
        <v>0</v>
      </c>
      <c r="B1" s="1" t="s">
        <v>1</v>
      </c>
      <c r="C1" s="1" t="s">
        <v>2</v>
      </c>
      <c r="D1" s="1" t="s">
        <v>14</v>
      </c>
      <c r="E1" s="1" t="s">
        <v>10</v>
      </c>
      <c r="F1" s="1" t="s">
        <v>11</v>
      </c>
      <c r="G1" s="1" t="s">
        <v>12</v>
      </c>
    </row>
    <row r="2" spans="1:7" x14ac:dyDescent="0.35">
      <c r="A2">
        <v>103</v>
      </c>
      <c r="B2" t="s">
        <v>27</v>
      </c>
      <c r="C2" t="s">
        <v>16</v>
      </c>
      <c r="D2">
        <v>0</v>
      </c>
      <c r="E2" t="s">
        <v>28</v>
      </c>
      <c r="F2" t="s">
        <v>29</v>
      </c>
      <c r="G2" t="s">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Tabelle1</vt:lpstr>
      <vt:lpstr>Tabelle2</vt:lpstr>
      <vt:lpstr>Rohdaten_Komplett</vt:lpstr>
      <vt:lpstr>Check_Scores</vt:lpstr>
      <vt:lpstr>Check_Technik</vt:lpstr>
      <vt:lpstr>Nur_Fehler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Benedict Heidecker</cp:lastModifiedBy>
  <dcterms:created xsi:type="dcterms:W3CDTF">2026-01-21T14:19:21Z</dcterms:created>
  <dcterms:modified xsi:type="dcterms:W3CDTF">2026-01-21T14:39:19Z</dcterms:modified>
</cp:coreProperties>
</file>